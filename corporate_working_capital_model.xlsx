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63a41c6f56be5b/Desktop/"/>
    </mc:Choice>
  </mc:AlternateContent>
  <xr:revisionPtr revIDLastSave="0" documentId="8_{DE1F7435-67F0-4971-BEBA-E35E212DED41}" xr6:coauthVersionLast="47" xr6:coauthVersionMax="47" xr10:uidLastSave="{00000000-0000-0000-0000-000000000000}"/>
  <bookViews>
    <workbookView xWindow="-108" yWindow="-108" windowWidth="23256" windowHeight="12456" activeTab="2" xr2:uid="{6E9B22F9-37A2-4F99-B987-30422C111EBC}"/>
  </bookViews>
  <sheets>
    <sheet name="Raw_Data" sheetId="1" r:id="rId1"/>
    <sheet name="Calculation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3" l="1"/>
  <c r="E4" i="2"/>
  <c r="B5" i="3"/>
  <c r="E3" i="2"/>
  <c r="E2" i="2"/>
  <c r="B5" i="2"/>
  <c r="J3" i="1"/>
  <c r="J4" i="1"/>
  <c r="J5" i="1"/>
  <c r="J6" i="1"/>
  <c r="J7" i="1"/>
  <c r="J8" i="1"/>
  <c r="J9" i="1"/>
  <c r="J2" i="1"/>
  <c r="I2" i="1"/>
  <c r="I3" i="1"/>
  <c r="I4" i="1"/>
  <c r="I5" i="1"/>
  <c r="I6" i="1"/>
  <c r="I7" i="1"/>
  <c r="I8" i="1"/>
  <c r="I9" i="1"/>
</calcChain>
</file>

<file path=xl/sharedStrings.xml><?xml version="1.0" encoding="utf-8"?>
<sst xmlns="http://schemas.openxmlformats.org/spreadsheetml/2006/main" count="48" uniqueCount="39">
  <si>
    <t>INVOICE_ID</t>
  </si>
  <si>
    <t>Customer_name</t>
  </si>
  <si>
    <t>Sector</t>
  </si>
  <si>
    <t>Invoice_Data</t>
  </si>
  <si>
    <t>Due_Data</t>
  </si>
  <si>
    <t>Paid_Data</t>
  </si>
  <si>
    <t>Invoice_Amount</t>
  </si>
  <si>
    <t>COGS</t>
  </si>
  <si>
    <t>INV-101</t>
  </si>
  <si>
    <t>Alpha Corp</t>
  </si>
  <si>
    <t>Technology</t>
  </si>
  <si>
    <t>INV-102</t>
  </si>
  <si>
    <t>Beta Retail</t>
  </si>
  <si>
    <t>Retail</t>
  </si>
  <si>
    <t>INV-103</t>
  </si>
  <si>
    <t>Gamma Build</t>
  </si>
  <si>
    <t>Manufacturing</t>
  </si>
  <si>
    <t>INV-104</t>
  </si>
  <si>
    <t>Delta Tech</t>
  </si>
  <si>
    <t>INV-105</t>
  </si>
  <si>
    <t>Epsilon Store</t>
  </si>
  <si>
    <t>INV-106</t>
  </si>
  <si>
    <t>Zeta Factory</t>
  </si>
  <si>
    <t>INV-107</t>
  </si>
  <si>
    <t>Theta Apps</t>
  </si>
  <si>
    <t>INV-108</t>
  </si>
  <si>
    <t>Omega Mart</t>
  </si>
  <si>
    <t>Gross_Profit</t>
  </si>
  <si>
    <t>Payment_Status</t>
  </si>
  <si>
    <t>Metric</t>
  </si>
  <si>
    <t>Value</t>
  </si>
  <si>
    <t>Total revenue</t>
  </si>
  <si>
    <t>Total COGS</t>
  </si>
  <si>
    <t>Total Gross Profit</t>
  </si>
  <si>
    <t>Gross Profit margin %</t>
  </si>
  <si>
    <t>Revenue</t>
  </si>
  <si>
    <t>Total Revenue</t>
  </si>
  <si>
    <t>Gross Profit Margin</t>
  </si>
  <si>
    <t>Corporate Profitability &amp; Working Capital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</si>
</sst>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3" applyFont="1"/>
    <xf numFmtId="43" fontId="0" fillId="0" borderId="0" xfId="1" applyFont="1"/>
    <xf numFmtId="0" fontId="2" fillId="0" borderId="0" xfId="0" applyFont="1"/>
    <xf numFmtId="0" fontId="0" fillId="2" borderId="0" xfId="0" applyFill="1"/>
    <xf numFmtId="44" fontId="0" fillId="2" borderId="0" xfId="2" applyFont="1" applyFill="1"/>
    <xf numFmtId="9" fontId="0" fillId="2" borderId="0" xfId="0" applyNumberFormat="1" applyFill="1"/>
    <xf numFmtId="0" fontId="0" fillId="0" borderId="0" xfId="0" applyAlignment="1">
      <alignment horizontal="left" vertical="center" indent="3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Calculations!$D$2:$D$4</c:f>
              <c:strCache>
                <c:ptCount val="3"/>
                <c:pt idx="0">
                  <c:v>Technology</c:v>
                </c:pt>
                <c:pt idx="1">
                  <c:v>Retail</c:v>
                </c:pt>
                <c:pt idx="2">
                  <c:v>Manufacturing</c:v>
                </c:pt>
              </c:strCache>
            </c:strRef>
          </c:cat>
          <c:val>
            <c:numRef>
              <c:f>Calculations!$E$2:$E$4</c:f>
              <c:numCache>
                <c:formatCode>_(* #,##0.00_);_(* \(#,##0.00\);_(* "-"??_);_(@_)</c:formatCode>
                <c:ptCount val="3"/>
                <c:pt idx="0">
                  <c:v>45500</c:v>
                </c:pt>
                <c:pt idx="1">
                  <c:v>24100</c:v>
                </c:pt>
                <c:pt idx="2">
                  <c:v>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1-470C-8C83-7E98F9788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457712"/>
        <c:axId val="898208080"/>
      </c:barChart>
      <c:catAx>
        <c:axId val="91845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08080"/>
        <c:crosses val="autoZero"/>
        <c:auto val="1"/>
        <c:lblAlgn val="ctr"/>
        <c:lblOffset val="100"/>
        <c:noMultiLvlLbl val="0"/>
      </c:catAx>
      <c:valAx>
        <c:axId val="8982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45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190500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F92AF-F5F0-4738-9D5B-E0BC939D2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82049-281D-4118-8E61-2F6957BE8D5E}" name="Table1" displayName="Table1" ref="A1:J9" totalsRowShown="0">
  <autoFilter ref="A1:J9" xr:uid="{B1982049-281D-4118-8E61-2F6957BE8D5E}"/>
  <tableColumns count="10">
    <tableColumn id="1" xr3:uid="{D009F68B-6C1C-4E4D-86CA-D87734CE7421}" name="INVOICE_ID"/>
    <tableColumn id="2" xr3:uid="{903B1440-37FB-4506-9F3D-E73850EADE17}" name="Customer_name"/>
    <tableColumn id="3" xr3:uid="{9FF963F6-F274-4EE7-8FDD-42FDC2E70999}" name="Sector"/>
    <tableColumn id="4" xr3:uid="{B295CBF8-9B88-48B4-B2EE-C5CC9C9066A1}" name="Invoice_Data" dataDxfId="3"/>
    <tableColumn id="5" xr3:uid="{47DB454E-E6CB-4084-B321-8075BA092C0A}" name="Due_Data" dataDxfId="2"/>
    <tableColumn id="6" xr3:uid="{0B15BF18-742C-4717-87BF-C437B88688A9}" name="Paid_Data"/>
    <tableColumn id="7" xr3:uid="{24FB203F-A80E-4891-9CA4-CC923FCFD758}" name="Invoice_Amount"/>
    <tableColumn id="8" xr3:uid="{4560BE44-4C39-4BCD-83CD-8FEFF8BD06A4}" name="COGS"/>
    <tableColumn id="9" xr3:uid="{3E019CC8-2635-4330-BFEC-3D7C4E5F3266}" name="Gross_Profit" dataDxfId="1">
      <calculatedColumnFormula>G2-H2</calculatedColumnFormula>
    </tableColumn>
    <tableColumn id="10" xr3:uid="{C801D2B3-D096-4EE7-8FA8-9C40B8F56D1B}" name="Payment_Status" dataDxfId="0">
      <calculatedColumnFormula>IF(F2="","UNPAID","PAID")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EBAD-1A34-49B0-80FB-97602996C8B2}">
  <dimension ref="A1:J9"/>
  <sheetViews>
    <sheetView workbookViewId="0">
      <selection activeCell="J2" sqref="J2:J9"/>
    </sheetView>
  </sheetViews>
  <sheetFormatPr defaultRowHeight="14.4" x14ac:dyDescent="0.3"/>
  <cols>
    <col min="1" max="1" width="12.5546875" customWidth="1"/>
    <col min="2" max="2" width="16.44140625" customWidth="1"/>
    <col min="4" max="4" width="13.5546875" customWidth="1"/>
    <col min="5" max="5" width="10.77734375" customWidth="1"/>
    <col min="6" max="6" width="11.33203125" customWidth="1"/>
    <col min="7" max="7" width="16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  <c r="J1" t="s">
        <v>28</v>
      </c>
    </row>
    <row r="2" spans="1:10" x14ac:dyDescent="0.3">
      <c r="A2" t="s">
        <v>8</v>
      </c>
      <c r="B2" t="s">
        <v>9</v>
      </c>
      <c r="C2" t="s">
        <v>10</v>
      </c>
      <c r="D2" s="1">
        <v>45296</v>
      </c>
      <c r="E2" s="1">
        <v>45326</v>
      </c>
      <c r="F2" s="1">
        <v>45324</v>
      </c>
      <c r="G2">
        <v>15000</v>
      </c>
      <c r="H2">
        <v>9000</v>
      </c>
      <c r="I2">
        <f t="shared" ref="I2:I9" si="0">G2-H2</f>
        <v>6000</v>
      </c>
      <c r="J2" t="str">
        <f t="shared" ref="J2:J9" si="1">IF(F2="","UNPAID","PAID")</f>
        <v>PAID</v>
      </c>
    </row>
    <row r="3" spans="1:10" x14ac:dyDescent="0.3">
      <c r="A3" t="s">
        <v>11</v>
      </c>
      <c r="B3" t="s">
        <v>12</v>
      </c>
      <c r="C3" t="s">
        <v>13</v>
      </c>
      <c r="D3" s="1">
        <v>45301</v>
      </c>
      <c r="E3" s="1">
        <v>45331</v>
      </c>
      <c r="F3" s="1">
        <v>45352</v>
      </c>
      <c r="G3">
        <v>8500</v>
      </c>
      <c r="H3">
        <v>5500</v>
      </c>
      <c r="I3">
        <f t="shared" si="0"/>
        <v>3000</v>
      </c>
      <c r="J3" t="str">
        <f t="shared" si="1"/>
        <v>PAID</v>
      </c>
    </row>
    <row r="4" spans="1:10" x14ac:dyDescent="0.3">
      <c r="A4" t="s">
        <v>14</v>
      </c>
      <c r="B4" t="s">
        <v>15</v>
      </c>
      <c r="C4" t="s">
        <v>16</v>
      </c>
      <c r="D4" s="1">
        <v>45306</v>
      </c>
      <c r="E4" s="1">
        <v>45336</v>
      </c>
      <c r="G4">
        <v>22000</v>
      </c>
      <c r="H4">
        <v>14000</v>
      </c>
      <c r="I4">
        <f t="shared" si="0"/>
        <v>8000</v>
      </c>
      <c r="J4" t="str">
        <f t="shared" si="1"/>
        <v>UNPAID</v>
      </c>
    </row>
    <row r="5" spans="1:10" x14ac:dyDescent="0.3">
      <c r="A5" t="s">
        <v>17</v>
      </c>
      <c r="B5" t="s">
        <v>18</v>
      </c>
      <c r="C5" t="s">
        <v>10</v>
      </c>
      <c r="D5" s="1">
        <v>45323</v>
      </c>
      <c r="E5" s="1">
        <v>45353</v>
      </c>
      <c r="F5" s="1">
        <v>45352</v>
      </c>
      <c r="G5">
        <v>12000</v>
      </c>
      <c r="H5">
        <v>7000</v>
      </c>
      <c r="I5">
        <f t="shared" si="0"/>
        <v>5000</v>
      </c>
      <c r="J5" t="str">
        <f t="shared" si="1"/>
        <v>PAID</v>
      </c>
    </row>
    <row r="6" spans="1:10" x14ac:dyDescent="0.3">
      <c r="A6" t="s">
        <v>19</v>
      </c>
      <c r="B6" t="s">
        <v>20</v>
      </c>
      <c r="C6" t="s">
        <v>13</v>
      </c>
      <c r="D6" s="1">
        <v>45332</v>
      </c>
      <c r="E6" s="1">
        <v>45362</v>
      </c>
      <c r="G6">
        <v>6400</v>
      </c>
      <c r="H6">
        <v>4100</v>
      </c>
      <c r="I6">
        <f t="shared" si="0"/>
        <v>2300</v>
      </c>
      <c r="J6" t="str">
        <f t="shared" si="1"/>
        <v>UNPAID</v>
      </c>
    </row>
    <row r="7" spans="1:10" x14ac:dyDescent="0.3">
      <c r="A7" t="s">
        <v>21</v>
      </c>
      <c r="B7" t="s">
        <v>22</v>
      </c>
      <c r="C7" t="s">
        <v>16</v>
      </c>
      <c r="D7" s="1">
        <v>45337</v>
      </c>
      <c r="E7" s="1">
        <v>45367</v>
      </c>
      <c r="F7" s="1">
        <v>45392</v>
      </c>
      <c r="G7">
        <v>31000</v>
      </c>
      <c r="H7">
        <v>20000</v>
      </c>
      <c r="I7">
        <f t="shared" si="0"/>
        <v>11000</v>
      </c>
      <c r="J7" t="str">
        <f t="shared" si="1"/>
        <v>PAID</v>
      </c>
    </row>
    <row r="8" spans="1:10" x14ac:dyDescent="0.3">
      <c r="A8" t="s">
        <v>23</v>
      </c>
      <c r="B8" t="s">
        <v>24</v>
      </c>
      <c r="C8" t="s">
        <v>10</v>
      </c>
      <c r="D8" s="1">
        <v>45352</v>
      </c>
      <c r="E8" s="1">
        <v>45382</v>
      </c>
      <c r="G8">
        <v>18500</v>
      </c>
      <c r="H8">
        <v>10500</v>
      </c>
      <c r="I8">
        <f t="shared" si="0"/>
        <v>8000</v>
      </c>
      <c r="J8" t="str">
        <f t="shared" si="1"/>
        <v>UNPAID</v>
      </c>
    </row>
    <row r="9" spans="1:10" x14ac:dyDescent="0.3">
      <c r="A9" t="s">
        <v>25</v>
      </c>
      <c r="B9" t="s">
        <v>26</v>
      </c>
      <c r="C9" t="s">
        <v>13</v>
      </c>
      <c r="D9" s="1">
        <v>45356</v>
      </c>
      <c r="E9" s="1">
        <v>45386</v>
      </c>
      <c r="G9">
        <v>9200</v>
      </c>
      <c r="H9">
        <v>6000</v>
      </c>
      <c r="I9">
        <f t="shared" si="0"/>
        <v>3200</v>
      </c>
      <c r="J9" t="str">
        <f t="shared" si="1"/>
        <v>UNPAID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DC83-D483-42D7-B17E-3D75650ABCBE}">
  <dimension ref="A1:E5"/>
  <sheetViews>
    <sheetView workbookViewId="0">
      <selection activeCell="E4" sqref="E4"/>
    </sheetView>
  </sheetViews>
  <sheetFormatPr defaultRowHeight="14.4" x14ac:dyDescent="0.3"/>
  <cols>
    <col min="2" max="2" width="11.33203125" bestFit="1" customWidth="1"/>
    <col min="5" max="5" width="9.77734375" bestFit="1" customWidth="1"/>
  </cols>
  <sheetData>
    <row r="1" spans="1:5" x14ac:dyDescent="0.3">
      <c r="A1" t="s">
        <v>29</v>
      </c>
      <c r="B1" t="s">
        <v>30</v>
      </c>
      <c r="D1" t="s">
        <v>2</v>
      </c>
      <c r="E1" t="s">
        <v>35</v>
      </c>
    </row>
    <row r="2" spans="1:5" x14ac:dyDescent="0.3">
      <c r="A2" t="s">
        <v>31</v>
      </c>
      <c r="B2" s="3">
        <v>122600</v>
      </c>
      <c r="D2" t="s">
        <v>10</v>
      </c>
      <c r="E2" s="3">
        <f>SUMIF(Raw_Data!C:C, D2, Raw_Data!G:G)</f>
        <v>45500</v>
      </c>
    </row>
    <row r="3" spans="1:5" x14ac:dyDescent="0.3">
      <c r="A3" t="s">
        <v>32</v>
      </c>
      <c r="B3" s="3">
        <v>76100</v>
      </c>
      <c r="D3" t="s">
        <v>13</v>
      </c>
      <c r="E3" s="3">
        <f>SUMIF(Raw_Data!C:C, D3, Raw_Data!G:G)</f>
        <v>24100</v>
      </c>
    </row>
    <row r="4" spans="1:5" x14ac:dyDescent="0.3">
      <c r="A4" t="s">
        <v>33</v>
      </c>
      <c r="B4" s="3">
        <v>46500</v>
      </c>
      <c r="D4" t="s">
        <v>16</v>
      </c>
      <c r="E4" s="3">
        <f>SUMIF(Raw_Data!C:C, D4, Raw_Data!G:G)</f>
        <v>53000</v>
      </c>
    </row>
    <row r="5" spans="1:5" x14ac:dyDescent="0.3">
      <c r="A5" t="s">
        <v>34</v>
      </c>
      <c r="B5" s="2">
        <f>B4/B2</f>
        <v>0.37928221859706363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8330-E611-42A4-80D4-E0767E020F04}">
  <dimension ref="B2:G5"/>
  <sheetViews>
    <sheetView showGridLines="0" tabSelected="1" workbookViewId="0">
      <selection activeCell="B4" sqref="B4"/>
    </sheetView>
  </sheetViews>
  <sheetFormatPr defaultRowHeight="14.4" x14ac:dyDescent="0.3"/>
  <cols>
    <col min="2" max="2" width="12.6640625" bestFit="1" customWidth="1"/>
  </cols>
  <sheetData>
    <row r="2" spans="2:7" ht="23.4" x14ac:dyDescent="0.45">
      <c r="B2" s="4" t="s">
        <v>38</v>
      </c>
    </row>
    <row r="4" spans="2:7" x14ac:dyDescent="0.3">
      <c r="B4" s="5" t="s">
        <v>36</v>
      </c>
      <c r="D4" s="5" t="s">
        <v>37</v>
      </c>
      <c r="E4" s="5"/>
      <c r="G4" s="8"/>
    </row>
    <row r="5" spans="2:7" x14ac:dyDescent="0.3">
      <c r="B5" s="6">
        <f>Calculations!B2</f>
        <v>122600</v>
      </c>
      <c r="D5" s="7">
        <f>Calculations!B5</f>
        <v>0.37928221859706363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chandelroanak6@outlook.com</dc:creator>
  <cp:lastModifiedBy>chandelroanak6@outlook.com</cp:lastModifiedBy>
  <dcterms:created xsi:type="dcterms:W3CDTF">2026-09-05T11:13:46Z</dcterms:created>
  <dcterms:modified xsi:type="dcterms:W3CDTF">2026-09-05T12:16:24Z</dcterms:modified>
</cp:coreProperties>
</file>